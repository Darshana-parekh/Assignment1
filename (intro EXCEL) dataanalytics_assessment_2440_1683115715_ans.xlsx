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D:\DA COURSSE\ASSESSMENT\"/>
    </mc:Choice>
  </mc:AlternateContent>
  <xr:revisionPtr revIDLastSave="0" documentId="13_ncr:1_{5DB9031A-0120-48F0-9EDA-CE21DEB1AD46}" xr6:coauthVersionLast="47" xr6:coauthVersionMax="47" xr10:uidLastSave="{00000000-0000-0000-0000-000000000000}"/>
  <bookViews>
    <workbookView xWindow="-120" yWindow="-120" windowWidth="20730" windowHeight="11040" xr2:uid="{E97132B9-DECF-492C-9BF8-3A615F723473}"/>
  </bookViews>
  <sheets>
    <sheet name="Sheet3" sheetId="6" r:id="rId1"/>
    <sheet name="# q1 name change " sheetId="2" r:id="rId2"/>
    <sheet name="unique supplier list" sheetId="4" r:id="rId3"/>
  </sheets>
  <definedNames>
    <definedName name="ExternalData_1" localSheetId="1" hidden="1">'# q1 name change '!$A$1:$I$48</definedName>
    <definedName name="ExternalData_1" localSheetId="2" hidden="1">'unique supplier list'!$A$1:$I$18</definedName>
    <definedName name="Slicer_Supplier">#N/A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ED9A6C-7563-4D21-AFD0-ADA251B1D983}"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2" xr16:uid="{DDA2A4A7-9405-4551-816F-DEC70D649A90}" keepAlive="1" name="Query - Sheet1 (2)" description="Connection to the 'Sheet1 (2)' query in the workbook." type="5" refreshedVersion="8" background="1" saveData="1">
    <dbPr connection="Provider=Microsoft.Mashup.OleDb.1;Data Source=$Workbook$;Location=&quot;Sheet1 (2)&quot;;Extended Properties=&quot;&quot;" command="SELECT * FROM [Sheet1 (2)]"/>
  </connection>
  <connection id="3" xr16:uid="{AB53185D-AEB7-4651-A7A8-519B31321522}" keepAlive="1" name="Query - Sheet1 (3)" description="Connection to the 'Sheet1 (3)' query in the workbook." type="5" refreshedVersion="8" background="1" saveData="1">
    <dbPr connection="Provider=Microsoft.Mashup.OleDb.1;Data Source=$Workbook$;Location=&quot;Sheet1 (3)&quot;;Extended Properties=&quot;&quot;" command="SELECT * FROM [Sheet1 (3)]"/>
  </connection>
</connections>
</file>

<file path=xl/sharedStrings.xml><?xml version="1.0" encoding="utf-8"?>
<sst xmlns="http://schemas.openxmlformats.org/spreadsheetml/2006/main" count="407" uniqueCount="91">
  <si>
    <t>Document Date</t>
  </si>
  <si>
    <t>Supplier</t>
  </si>
  <si>
    <t>Reference</t>
  </si>
  <si>
    <t>Description</t>
  </si>
  <si>
    <t>Tax Inclusive Amount</t>
  </si>
  <si>
    <t>Tax Code</t>
  </si>
  <si>
    <t>Bank Code</t>
  </si>
  <si>
    <t>Account Code</t>
  </si>
  <si>
    <t>Payment Date</t>
  </si>
  <si>
    <t>XY Solutions</t>
  </si>
  <si>
    <t>S77782</t>
  </si>
  <si>
    <t>opening Balance</t>
  </si>
  <si>
    <t>A</t>
  </si>
  <si>
    <t>B1</t>
  </si>
  <si>
    <t>BS-500</t>
  </si>
  <si>
    <t>IS Communications</t>
  </si>
  <si>
    <t>Invoice EXP22</t>
  </si>
  <si>
    <t>Internet Service provider</t>
  </si>
  <si>
    <t>IS-380</t>
  </si>
  <si>
    <t>Newscorp</t>
  </si>
  <si>
    <t>I381119</t>
  </si>
  <si>
    <t>Subscripctions</t>
  </si>
  <si>
    <t>IS-375</t>
  </si>
  <si>
    <t>EAG Brokers</t>
  </si>
  <si>
    <t>Debit Order</t>
  </si>
  <si>
    <t>Insurance</t>
  </si>
  <si>
    <t>IS-340</t>
  </si>
  <si>
    <t>Capital Bank</t>
  </si>
  <si>
    <t>Bank Statement</t>
  </si>
  <si>
    <t>Service Fees</t>
  </si>
  <si>
    <t>IS-315</t>
  </si>
  <si>
    <t>B2</t>
  </si>
  <si>
    <t>IAS Accountants</t>
  </si>
  <si>
    <t xml:space="preserve">Invoice  </t>
  </si>
  <si>
    <t>Bookkeeping</t>
  </si>
  <si>
    <t>IS-305</t>
  </si>
  <si>
    <t>Interflora</t>
  </si>
  <si>
    <t>Cash</t>
  </si>
  <si>
    <t>Flowers</t>
  </si>
  <si>
    <t>PC</t>
  </si>
  <si>
    <t>IS-345</t>
  </si>
  <si>
    <t>QQ International</t>
  </si>
  <si>
    <t>TR6998</t>
  </si>
  <si>
    <t>Parking</t>
  </si>
  <si>
    <t>IS-390</t>
  </si>
  <si>
    <t>Example (Pty) Ltd</t>
  </si>
  <si>
    <t>Transfer</t>
  </si>
  <si>
    <t>Inter Account Transfer</t>
  </si>
  <si>
    <t>E</t>
  </si>
  <si>
    <t>BS-399</t>
  </si>
  <si>
    <t>Payroll</t>
  </si>
  <si>
    <t>Salaries</t>
  </si>
  <si>
    <t>IS-365</t>
  </si>
  <si>
    <t>HP Finance</t>
  </si>
  <si>
    <t>Capital repayment</t>
  </si>
  <si>
    <t>BS-700</t>
  </si>
  <si>
    <t>Interest paid</t>
  </si>
  <si>
    <t>IS-500</t>
  </si>
  <si>
    <t>PR Properties</t>
  </si>
  <si>
    <t>Rent</t>
  </si>
  <si>
    <t>IS-350</t>
  </si>
  <si>
    <t>Petty Cash Reimbursement</t>
  </si>
  <si>
    <t>Invoice EXP23</t>
  </si>
  <si>
    <t>Internet Service Provider</t>
  </si>
  <si>
    <t>Invoice</t>
  </si>
  <si>
    <t>Inland Revenue</t>
  </si>
  <si>
    <t>Return</t>
  </si>
  <si>
    <t>Sales Tax</t>
  </si>
  <si>
    <t>BS-600</t>
  </si>
  <si>
    <t>Furniture City</t>
  </si>
  <si>
    <t>Furniture</t>
  </si>
  <si>
    <t>BS-100</t>
  </si>
  <si>
    <t>GF Supplies</t>
  </si>
  <si>
    <t>IN1179</t>
  </si>
  <si>
    <t>Consumables</t>
  </si>
  <si>
    <t>IS-325</t>
  </si>
  <si>
    <t>Invoice EXP24</t>
  </si>
  <si>
    <t>Training Inc</t>
  </si>
  <si>
    <t>Course</t>
  </si>
  <si>
    <t>IS-385</t>
  </si>
  <si>
    <t>City Lodge</t>
  </si>
  <si>
    <t>S50037</t>
  </si>
  <si>
    <t>Accommodation</t>
  </si>
  <si>
    <t>Waltons</t>
  </si>
  <si>
    <t>Stationery</t>
  </si>
  <si>
    <t>IS-370</t>
  </si>
  <si>
    <t>Debit Order</t>
  </si>
  <si>
    <t>Interest paid</t>
  </si>
  <si>
    <t>Sum of Tax Inclusive Amount</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</si>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</sst>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applyAlignment="1">
      <alignment horizontal="center" vertical="center"/>
    </xf>
    <xf numFmtId="14" fontId="0" fillId="0" borderId="0" xfId="0" applyNumberFormat="1" applyAlignment="1">
      <alignment horizontal="center" vertical="center"/>
    </xf>
    <xf numFmtId="0" fontId="0" fillId="0" borderId="0" xfId="0" pivotButton="1"/>
    <xf numFmtId="0" fontId="0" fillId="0" borderId="0" xfId="0" applyAlignment="1">
      <alignment horizontal="left"/>
    </xf>
  </cellXfs>
  <cellStyles count="1">
    <cellStyle name="Normal" xfId="0" builtinId="0"/>
  </cellStyles>
  <dxfs count="19">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[Introduction of Excel.xlsx]Sheet3!PivotTable2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Sheet3!$A$4:$A$6</c:f>
              <c:strCache>
                <c:ptCount val="2"/>
                <c:pt idx="0">
                  <c:v>IS-375</c:v>
                </c:pt>
                <c:pt idx="1">
                  <c:v>IS-390</c:v>
                </c:pt>
              </c:strCache>
            </c:strRef>
          </c:cat>
          <c:val>
            <c:numRef>
              <c:f>Sheet3!$B$4:$B$6</c:f>
              <c:numCache>
                <c:formatCode>General</c:formatCode>
                <c:ptCount val="2"/>
                <c:pt idx="0">
                  <c:v>478</c:v>
                </c:pt>
                <c:pt idx="1">
                  <c:v>763</c:v>
                </c:pt>
              </c:numCache>
            </c:numRef>
          </c:val>
          <c:extLst>
            <c:ext xmlns:c16="http://schemas.microsoft.com/office/drawing/2014/chart" uri="{C3380CC4-5D6E-409C-BE32-E72D297353CC}">
              <c16:uniqueId val="{00000000-0A54-4986-A217-8C545F81A93C}"/>
            </c:ext>
          </c:extLst>
        </c:ser>
        <c:dLbls>
          <c:showLegendKey val="0"/>
          <c:showVal val="0"/>
          <c:showCatName val="0"/>
          <c:showSerName val="0"/>
          <c:showPercent val="0"/>
          <c:showBubbleSize val="0"/>
        </c:dLbls>
        <c:gapWidth val="219"/>
        <c:overlap val="-27"/>
        <c:axId val="1478748480"/>
        <c:axId val="1478749440"/>
      </c:barChart>
      <c:catAx>
        <c:axId val="147874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749440"/>
        <c:crosses val="autoZero"/>
        <c:auto val="1"/>
        <c:lblAlgn val="ctr"/>
        <c:lblOffset val="100"/>
        <c:noMultiLvlLbl val="0"/>
      </c:catAx>
      <c:valAx>
        <c:axId val="1478749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74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123825</xdr:colOff>
      <xdr:row>3</xdr:row>
      <xdr:rowOff>147637</xdr:rowOff>
    </xdr:from>
    <xdr:to>
      <xdr:col>9</xdr:col>
      <xdr:colOff>809625</xdr:colOff>
      <xdr:row>18</xdr:row>
      <xdr:rowOff>33337</xdr:rowOff>
    </xdr:to>
    <xdr:graphicFrame macro="">
      <xdr:nvGraphicFramePr>
        <xdr:cNvPr id="4" name="Chart 3">
          <a:extLst>
            <a:ext uri="{FF2B5EF4-FFF2-40B4-BE49-F238E27FC236}">
              <a16:creationId xmlns:a16="http://schemas.microsoft.com/office/drawing/2014/main" id="{51B12CFB-2328-2755-CA8A-3D17B0BD50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104775</xdr:colOff>
      <xdr:row>2</xdr:row>
      <xdr:rowOff>0</xdr:rowOff>
    </xdr:from>
    <xdr:to>
      <xdr:col>5</xdr:col>
      <xdr:colOff>66675</xdr:colOff>
      <xdr:row>15</xdr:row>
      <xdr:rowOff>47625</xdr:rowOff>
    </xdr:to>
    <mc:AlternateContent xmlns:mc="http://schemas.openxmlformats.org/markup-compatibility/2006" xmlns:a14="http://schemas.microsoft.com/office/drawing/2010/main">
      <mc:Choice Requires="a14">
        <xdr:graphicFrame macro="">
          <xdr:nvGraphicFramePr>
            <xdr:cNvPr id="5" name="Supplier">
              <a:extLst>
                <a:ext uri="{FF2B5EF4-FFF2-40B4-BE49-F238E27FC236}">
                  <a16:creationId xmlns:a16="http://schemas.microsoft.com/office/drawing/2014/main" id="{AAF57647-3E6E-CDC3-3792-1CDABC327334}"/>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mlns="">
        <xdr:sp macro="" textlink="">
          <xdr:nvSpPr>
            <xdr:cNvPr id="0" name=""/>
            <xdr:cNvSpPr>
              <a:spLocks noTextEdit="1"/>
            </xdr:cNvSpPr>
          </xdr:nvSpPr>
          <xdr:spPr>
            <a:xfrm>
              <a:off x="2781300" y="381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dhi Vinayak" refreshedDate="45822.523279166664" createdVersion="8" refreshedVersion="8" minRefreshableVersion="3" recordCount="47" xr:uid="{09555288-B132-4B41-B799-8965AC1E870E}">
  <cacheSource type="worksheet">
    <worksheetSource name="Sheet1"/>
  </cacheSource>
  <cacheFields count="9">
    <cacheField name="Document Date" numFmtId="14">
      <sharedItems containsSemiMixedTypes="0" containsNonDate="0" containsDate="1" containsString="0" minDate="2011-02-14T00:00:00" maxDate="2011-05-27T00:00:00"/>
    </cacheField>
    <cacheField name="Supplier" numFmtId="0">
      <sharedItems count="17">
        <s v="XY Solutions"/>
        <s v="IS Communications"/>
        <s v="Newscorp"/>
        <s v="EAG Brokers"/>
        <s v="Capital Bank"/>
        <s v="IAS Accountants"/>
        <s v="Interflora"/>
        <s v="QQ International"/>
        <s v="Example (Pty) Ltd"/>
        <s v="HP Finance"/>
        <s v="PR Properties"/>
        <s v="Inland Revenue"/>
        <s v="Furniture City"/>
        <s v="GF Supplies"/>
        <s v="Training Inc"/>
        <s v="City Lodge"/>
        <s v="Waltons"/>
      </sharedItems>
    </cacheField>
    <cacheField name="Reference" numFmtId="0">
      <sharedItems count="17">
        <s v="S77782"/>
        <s v="Invoice EXP22"/>
        <s v="I381119"/>
        <s v="Debit Order"/>
        <s v="Bank Statement"/>
        <s v="Invoice  "/>
        <s v="Cash"/>
        <s v="TR6998"/>
        <s v="Transfer"/>
        <s v="Payroll"/>
        <s v="Invoice EXP23"/>
        <s v="Invoice"/>
        <s v="Return"/>
        <s v="IN1179"/>
        <s v="Invoice EXP24"/>
        <s v="S50037"/>
        <s v="Debit Order"/>
      </sharedItems>
    </cacheField>
    <cacheField name="Description" numFmtId="0">
      <sharedItems/>
    </cacheField>
    <cacheField name="Tax Inclusive Amount" numFmtId="0">
      <sharedItems containsSemiMixedTypes="0" containsString="0" containsNumber="1" containsInteger="1" minValue="-20000" maxValue="20000"/>
    </cacheField>
    <cacheField name="Tax Code" numFmtId="0">
      <sharedItems/>
    </cacheField>
    <cacheField name="Bank Code" numFmtId="0">
      <sharedItems count="3">
        <s v="B1"/>
        <s v="B2"/>
        <s v="PC"/>
      </sharedItems>
    </cacheField>
    <cacheField name="Account Code" numFmtId="0">
      <sharedItems count="18">
        <s v="BS-500"/>
        <s v="IS-380"/>
        <s v="IS-375"/>
        <s v="IS-340"/>
        <s v="IS-315"/>
        <s v="IS-305"/>
        <s v="IS-345"/>
        <s v="IS-390"/>
        <s v="BS-399"/>
        <s v="IS-365"/>
        <s v="BS-700"/>
        <s v="IS-500"/>
        <s v="IS-350"/>
        <s v="BS-600"/>
        <s v="BS-100"/>
        <s v="IS-325"/>
        <s v="IS-385"/>
        <s v="IS-370"/>
      </sharedItems>
    </cacheField>
    <cacheField name="Payment Date" numFmtId="14">
      <sharedItems containsSemiMixedTypes="0" containsNonDate="0" containsDate="1" containsString="0" minDate="2011-03-02T00:00:00" maxDate="2011-06-07T00:00:00"/>
    </cacheField>
  </cacheFields>
  <extLst>
    <ext xmlns:x14="http://schemas.microsoft.com/office/spreadsheetml/2009/9/main" uri="{725AE2AE-9491-48be-B2B4-4EB974FC3084}">
      <x14:pivotCacheDefinition pivotCacheId="18762072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
  <r>
    <d v="2011-02-14T00:00:00"/>
    <x v="0"/>
    <x v="0"/>
    <s v="opening Balance"/>
    <n v="5100"/>
    <s v="A"/>
    <x v="0"/>
    <x v="0"/>
    <d v="2011-03-02T00:00:00"/>
  </r>
  <r>
    <d v="2011-03-01T00:00:00"/>
    <x v="1"/>
    <x v="1"/>
    <s v="Internet Service provider"/>
    <n v="179"/>
    <s v="A"/>
    <x v="0"/>
    <x v="1"/>
    <d v="2011-03-31T00:00:00"/>
  </r>
  <r>
    <d v="2011-03-02T00:00:00"/>
    <x v="2"/>
    <x v="2"/>
    <s v="Subscripctions"/>
    <n v="478"/>
    <s v="A"/>
    <x v="0"/>
    <x v="2"/>
    <d v="2011-04-01T00:00:00"/>
  </r>
  <r>
    <d v="2011-03-05T00:00:00"/>
    <x v="3"/>
    <x v="3"/>
    <s v="Insurance"/>
    <n v="340"/>
    <s v="A"/>
    <x v="0"/>
    <x v="3"/>
    <d v="2011-03-05T00:00:00"/>
  </r>
  <r>
    <d v="2011-03-15T00:00:00"/>
    <x v="4"/>
    <x v="4"/>
    <s v="Service Fees"/>
    <n v="50"/>
    <s v="A"/>
    <x v="0"/>
    <x v="4"/>
    <d v="2011-03-15T00:00:00"/>
  </r>
  <r>
    <d v="2011-03-15T00:00:00"/>
    <x v="4"/>
    <x v="4"/>
    <s v="Service Fees"/>
    <n v="35"/>
    <s v="A"/>
    <x v="1"/>
    <x v="4"/>
    <d v="2011-03-15T00:00:00"/>
  </r>
  <r>
    <d v="2011-03-15T00:00:00"/>
    <x v="5"/>
    <x v="5"/>
    <s v="Bookkeeping"/>
    <n v="1000"/>
    <s v="A"/>
    <x v="0"/>
    <x v="5"/>
    <d v="2011-04-02T00:00:00"/>
  </r>
  <r>
    <d v="2011-03-15T00:00:00"/>
    <x v="6"/>
    <x v="6"/>
    <s v="Flowers"/>
    <n v="90"/>
    <s v="A"/>
    <x v="2"/>
    <x v="6"/>
    <d v="2011-03-15T00:00:00"/>
  </r>
  <r>
    <d v="2011-03-18T00:00:00"/>
    <x v="7"/>
    <x v="7"/>
    <s v="Parking"/>
    <n v="200"/>
    <s v="A"/>
    <x v="0"/>
    <x v="7"/>
    <d v="2011-03-18T00:00:00"/>
  </r>
  <r>
    <d v="2011-03-20T00:00:00"/>
    <x v="8"/>
    <x v="8"/>
    <s v="Inter Account Transfer"/>
    <n v="-15000"/>
    <s v="E"/>
    <x v="1"/>
    <x v="8"/>
    <d v="2011-03-20T00:00:00"/>
  </r>
  <r>
    <d v="2011-03-20T00:00:00"/>
    <x v="8"/>
    <x v="8"/>
    <s v="Inter Account Transfer"/>
    <n v="15000"/>
    <s v="E"/>
    <x v="0"/>
    <x v="8"/>
    <d v="2011-03-20T00:00:00"/>
  </r>
  <r>
    <d v="2011-03-26T00:00:00"/>
    <x v="8"/>
    <x v="9"/>
    <s v="Salaries"/>
    <n v="13000"/>
    <s v="E"/>
    <x v="1"/>
    <x v="9"/>
    <d v="2011-03-26T00:00:00"/>
  </r>
  <r>
    <d v="2011-03-26T00:00:00"/>
    <x v="9"/>
    <x v="3"/>
    <s v="Capital repayment"/>
    <n v="220"/>
    <s v="E"/>
    <x v="0"/>
    <x v="10"/>
    <d v="2011-03-26T00:00:00"/>
  </r>
  <r>
    <d v="2011-03-26T00:00:00"/>
    <x v="9"/>
    <x v="3"/>
    <s v="Interest paid"/>
    <n v="100"/>
    <s v="E"/>
    <x v="0"/>
    <x v="11"/>
    <d v="2011-03-26T00:00:00"/>
  </r>
  <r>
    <d v="2011-03-26T00:00:00"/>
    <x v="10"/>
    <x v="3"/>
    <s v="Rent"/>
    <n v="6400"/>
    <s v="A"/>
    <x v="0"/>
    <x v="12"/>
    <d v="2011-03-26T00:00:00"/>
  </r>
  <r>
    <d v="2011-03-31T00:00:00"/>
    <x v="8"/>
    <x v="4"/>
    <s v="Petty Cash Reimbursement"/>
    <n v="100"/>
    <s v="E"/>
    <x v="0"/>
    <x v="8"/>
    <d v="2011-03-31T00:00:00"/>
  </r>
  <r>
    <d v="2011-03-31T00:00:00"/>
    <x v="8"/>
    <x v="4"/>
    <s v="Petty Cash Reimbursement"/>
    <n v="-100"/>
    <s v="E"/>
    <x v="2"/>
    <x v="8"/>
    <d v="2011-03-31T00:00:00"/>
  </r>
  <r>
    <d v="2011-04-01T00:00:00"/>
    <x v="1"/>
    <x v="10"/>
    <s v="Internet Service provider"/>
    <n v="179"/>
    <s v="A"/>
    <x v="0"/>
    <x v="1"/>
    <d v="2011-05-01T00:00:00"/>
  </r>
  <r>
    <d v="2011-04-05T00:00:00"/>
    <x v="3"/>
    <x v="3"/>
    <s v="Insurance"/>
    <n v="340"/>
    <s v="A"/>
    <x v="0"/>
    <x v="3"/>
    <d v="2011-04-05T00:00:00"/>
  </r>
  <r>
    <d v="2011-04-12T00:00:00"/>
    <x v="6"/>
    <x v="6"/>
    <s v="Flowers"/>
    <n v="87"/>
    <s v="A"/>
    <x v="2"/>
    <x v="6"/>
    <d v="2011-04-12T00:00:00"/>
  </r>
  <r>
    <d v="2011-04-15T00:00:00"/>
    <x v="4"/>
    <x v="4"/>
    <s v="Service Fees"/>
    <n v="80"/>
    <s v="A"/>
    <x v="0"/>
    <x v="4"/>
    <d v="2011-04-15T00:00:00"/>
  </r>
  <r>
    <d v="2011-04-15T00:00:00"/>
    <x v="4"/>
    <x v="4"/>
    <s v="Service Fees"/>
    <n v="35"/>
    <s v="A"/>
    <x v="1"/>
    <x v="4"/>
    <d v="2011-04-15T00:00:00"/>
  </r>
  <r>
    <d v="2011-04-15T00:00:00"/>
    <x v="5"/>
    <x v="11"/>
    <s v="Bookkeeping"/>
    <n v="1000"/>
    <s v="A"/>
    <x v="0"/>
    <x v="5"/>
    <d v="2011-05-03T00:00:00"/>
  </r>
  <r>
    <d v="2011-04-20T00:00:00"/>
    <x v="8"/>
    <x v="8"/>
    <s v="Inter Account Transfer"/>
    <n v="-20000"/>
    <s v="E"/>
    <x v="1"/>
    <x v="8"/>
    <d v="2011-04-20T00:00:00"/>
  </r>
  <r>
    <d v="2011-04-20T00:00:00"/>
    <x v="8"/>
    <x v="8"/>
    <s v="Inter Account Transfer"/>
    <n v="20000"/>
    <s v="E"/>
    <x v="0"/>
    <x v="8"/>
    <d v="2011-04-20T00:00:00"/>
  </r>
  <r>
    <d v="2011-04-25T00:00:00"/>
    <x v="11"/>
    <x v="12"/>
    <s v="Sales Tax"/>
    <n v="1300"/>
    <s v="E"/>
    <x v="0"/>
    <x v="13"/>
    <d v="2011-04-25T00:00:00"/>
  </r>
  <r>
    <d v="2011-04-26T00:00:00"/>
    <x v="8"/>
    <x v="9"/>
    <s v="Salaries"/>
    <n v="20000"/>
    <s v="E"/>
    <x v="1"/>
    <x v="9"/>
    <d v="2011-04-26T00:00:00"/>
  </r>
  <r>
    <d v="2011-04-26T00:00:00"/>
    <x v="12"/>
    <x v="11"/>
    <s v="Furniture"/>
    <n v="3000"/>
    <s v="A"/>
    <x v="0"/>
    <x v="14"/>
    <d v="2011-05-26T00:00:00"/>
  </r>
  <r>
    <d v="2011-04-26T00:00:00"/>
    <x v="9"/>
    <x v="3"/>
    <s v="Capital repayment"/>
    <n v="220"/>
    <s v="E"/>
    <x v="0"/>
    <x v="10"/>
    <d v="2011-04-26T00:00:00"/>
  </r>
  <r>
    <d v="2011-04-26T00:00:00"/>
    <x v="9"/>
    <x v="3"/>
    <s v="Interest paid"/>
    <n v="100"/>
    <s v="E"/>
    <x v="0"/>
    <x v="11"/>
    <d v="2011-04-26T00:00:00"/>
  </r>
  <r>
    <d v="2011-04-26T00:00:00"/>
    <x v="10"/>
    <x v="3"/>
    <s v="Rent"/>
    <n v="6400"/>
    <s v="A"/>
    <x v="0"/>
    <x v="12"/>
    <d v="2011-04-26T00:00:00"/>
  </r>
  <r>
    <d v="2011-04-29T00:00:00"/>
    <x v="13"/>
    <x v="13"/>
    <s v="Consumables"/>
    <n v="41"/>
    <s v="A"/>
    <x v="2"/>
    <x v="15"/>
    <d v="2011-05-29T00:00:00"/>
  </r>
  <r>
    <d v="2011-04-30T00:00:00"/>
    <x v="8"/>
    <x v="4"/>
    <s v="Petty Cash Reimbursement"/>
    <n v="100"/>
    <s v="E"/>
    <x v="0"/>
    <x v="8"/>
    <d v="2011-04-30T00:00:00"/>
  </r>
  <r>
    <d v="2011-04-30T00:00:00"/>
    <x v="8"/>
    <x v="4"/>
    <s v="Petty Cash Reimbursement"/>
    <n v="-100"/>
    <s v="E"/>
    <x v="2"/>
    <x v="8"/>
    <d v="2011-04-30T00:00:00"/>
  </r>
  <r>
    <d v="2011-05-01T00:00:00"/>
    <x v="1"/>
    <x v="14"/>
    <s v="Internet Service provider"/>
    <n v="179"/>
    <s v="A"/>
    <x v="0"/>
    <x v="1"/>
    <d v="2011-05-31T00:00:00"/>
  </r>
  <r>
    <d v="2011-05-01T00:00:00"/>
    <x v="14"/>
    <x v="11"/>
    <s v="Course"/>
    <n v="220"/>
    <s v="A"/>
    <x v="0"/>
    <x v="16"/>
    <d v="2011-05-31T00:00:00"/>
  </r>
  <r>
    <d v="2011-05-05T00:00:00"/>
    <x v="3"/>
    <x v="3"/>
    <s v="Insurance"/>
    <n v="340"/>
    <s v="A"/>
    <x v="0"/>
    <x v="3"/>
    <d v="2011-05-05T00:00:00"/>
  </r>
  <r>
    <d v="2011-05-07T00:00:00"/>
    <x v="15"/>
    <x v="15"/>
    <s v="Accommodation"/>
    <n v="563"/>
    <s v="A"/>
    <x v="0"/>
    <x v="7"/>
    <d v="2011-05-07T00:00:00"/>
  </r>
  <r>
    <d v="2011-05-07T00:00:00"/>
    <x v="16"/>
    <x v="11"/>
    <s v="Stationery"/>
    <n v="982"/>
    <s v="A"/>
    <x v="0"/>
    <x v="17"/>
    <d v="2011-06-06T00:00:00"/>
  </r>
  <r>
    <d v="2011-05-15T00:00:00"/>
    <x v="4"/>
    <x v="4"/>
    <s v="Service Fees"/>
    <n v="80"/>
    <s v="A"/>
    <x v="0"/>
    <x v="4"/>
    <d v="2011-05-15T00:00:00"/>
  </r>
  <r>
    <d v="2011-05-15T00:00:00"/>
    <x v="4"/>
    <x v="4"/>
    <s v="Service Fees"/>
    <n v="35"/>
    <s v="A"/>
    <x v="1"/>
    <x v="4"/>
    <d v="2011-05-15T00:00:00"/>
  </r>
  <r>
    <d v="2011-05-15T00:00:00"/>
    <x v="5"/>
    <x v="11"/>
    <s v="Bookkeeping"/>
    <n v="1000"/>
    <s v="A"/>
    <x v="0"/>
    <x v="5"/>
    <d v="2011-06-02T00:00:00"/>
  </r>
  <r>
    <d v="2011-05-20T00:00:00"/>
    <x v="8"/>
    <x v="8"/>
    <s v="Inter Account Transfer"/>
    <n v="-20000"/>
    <s v="E"/>
    <x v="1"/>
    <x v="8"/>
    <d v="2011-05-20T00:00:00"/>
  </r>
  <r>
    <d v="2011-05-20T00:00:00"/>
    <x v="8"/>
    <x v="8"/>
    <s v="Inter Account Transfer"/>
    <n v="20000"/>
    <s v="E"/>
    <x v="0"/>
    <x v="8"/>
    <d v="2011-05-20T00:00:00"/>
  </r>
  <r>
    <d v="2011-05-26T00:00:00"/>
    <x v="8"/>
    <x v="9"/>
    <s v="Salaries"/>
    <n v="20000"/>
    <s v="E"/>
    <x v="1"/>
    <x v="9"/>
    <d v="2011-05-26T00:00:00"/>
  </r>
  <r>
    <d v="2011-05-26T00:00:00"/>
    <x v="9"/>
    <x v="3"/>
    <s v="Capital repayment"/>
    <n v="220"/>
    <s v="E"/>
    <x v="0"/>
    <x v="10"/>
    <d v="2011-05-26T00:00:00"/>
  </r>
  <r>
    <d v="2011-05-26T00:00:00"/>
    <x v="9"/>
    <x v="16"/>
    <s v="Interest paid"/>
    <n v="100"/>
    <s v="E"/>
    <x v="0"/>
    <x v="11"/>
    <d v="2011-05-26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7498A0-0B86-4001-A240-EC6B75D967D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9">
    <pivotField numFmtId="14" showAll="0"/>
    <pivotField showAll="0">
      <items count="18">
        <item x="4"/>
        <item x="15"/>
        <item x="3"/>
        <item x="8"/>
        <item x="12"/>
        <item x="13"/>
        <item x="9"/>
        <item x="5"/>
        <item x="11"/>
        <item x="6"/>
        <item x="1"/>
        <item x="2"/>
        <item x="10"/>
        <item x="7"/>
        <item x="14"/>
        <item x="16"/>
        <item x="0"/>
        <item t="default"/>
      </items>
    </pivotField>
    <pivotField showAll="0">
      <items count="18">
        <item x="4"/>
        <item x="6"/>
        <item x="3"/>
        <item x="16"/>
        <item x="2"/>
        <item x="13"/>
        <item x="11"/>
        <item x="5"/>
        <item x="1"/>
        <item x="10"/>
        <item x="14"/>
        <item x="9"/>
        <item x="12"/>
        <item x="15"/>
        <item x="0"/>
        <item x="7"/>
        <item x="8"/>
        <item t="default"/>
      </items>
    </pivotField>
    <pivotField showAll="0"/>
    <pivotField dataField="1" showAll="0"/>
    <pivotField showAll="0"/>
    <pivotField showAll="0">
      <items count="4">
        <item x="0"/>
        <item x="1"/>
        <item x="2"/>
        <item t="default"/>
      </items>
    </pivotField>
    <pivotField axis="axisRow" showAll="0">
      <items count="19">
        <item h="1" x="14"/>
        <item h="1" x="8"/>
        <item h="1" x="0"/>
        <item h="1" x="13"/>
        <item h="1" x="10"/>
        <item h="1" x="5"/>
        <item h="1" x="4"/>
        <item h="1" x="15"/>
        <item h="1" x="3"/>
        <item h="1" x="6"/>
        <item h="1" x="12"/>
        <item h="1" x="9"/>
        <item h="1" x="17"/>
        <item x="2"/>
        <item h="1" x="1"/>
        <item h="1" x="16"/>
        <item x="7"/>
        <item h="1" x="11"/>
        <item t="default"/>
      </items>
    </pivotField>
    <pivotField numFmtId="14" showAll="0"/>
  </pivotFields>
  <rowFields count="1">
    <field x="7"/>
  </rowFields>
  <rowItems count="3">
    <i>
      <x v="13"/>
    </i>
    <i>
      <x v="16"/>
    </i>
    <i t="grand">
      <x/>
    </i>
  </rowItems>
  <colItems count="1">
    <i/>
  </colItems>
  <dataFields count="1">
    <dataField name="Sum of Tax Inclusive Amount" fld="4"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45A2C34-3BC5-41E3-8A7D-378C1B35E96D}" autoFormatId="16" applyNumberFormats="0" applyBorderFormats="0" applyFontFormats="0" applyPatternFormats="0" applyAlignmentFormats="0" applyWidthHeightFormats="0">
  <queryTableRefresh nextId="10">
    <queryTableFields count="9">
      <queryTableField id="1" name="Document Date" tableColumnId="1"/>
      <queryTableField id="2" name="Supplier" tableColumnId="2"/>
      <queryTableField id="3" name="Reference" tableColumnId="3"/>
      <queryTableField id="4" name="Description" tableColumnId="4"/>
      <queryTableField id="5" name="Tax Inclusive Amount" tableColumnId="5"/>
      <queryTableField id="6" name="Tax Code" tableColumnId="6"/>
      <queryTableField id="7" name="Bank Code" tableColumnId="7"/>
      <queryTableField id="8" name="Account Code" tableColumnId="8"/>
      <queryTableField id="9" name="Payment Date"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7959E648-1104-4960-BE04-C9B002F73ED2}" autoFormatId="16" applyNumberFormats="0" applyBorderFormats="0" applyFontFormats="0" applyPatternFormats="0" applyAlignmentFormats="0" applyWidthHeightFormats="0">
  <queryTableRefresh nextId="12">
    <queryTableFields count="9">
      <queryTableField id="1" name="Document Date" tableColumnId="1"/>
      <queryTableField id="2" name="Supplier" tableColumnId="2"/>
      <queryTableField id="3" name="Reference" tableColumnId="3"/>
      <queryTableField id="4" name="Description" tableColumnId="4"/>
      <queryTableField id="5" name="Tax Inclusive Amount" tableColumnId="5"/>
      <queryTableField id="10" name="Tax Code" tableColumnId="10"/>
      <queryTableField id="7" name="Bank Code" tableColumnId="7"/>
      <queryTableField id="8" name="Account Code" tableColumnId="8"/>
      <queryTableField id="9" name="Payment Date"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2599111F-39C9-4DA5-8FD4-D7A6AD921662}" sourceName="Supplier">
  <pivotTables>
    <pivotTable tabId="6" name="PivotTable2"/>
  </pivotTables>
  <data>
    <tabular pivotCacheId="1876207223">
      <items count="17">
        <i x="15" s="1"/>
        <i x="2" s="1"/>
        <i x="7" s="1"/>
        <i x="4" s="1" nd="1"/>
        <i x="3" s="1" nd="1"/>
        <i x="8" s="1" nd="1"/>
        <i x="12" s="1" nd="1"/>
        <i x="13" s="1" nd="1"/>
        <i x="9" s="1" nd="1"/>
        <i x="5" s="1" nd="1"/>
        <i x="11" s="1" nd="1"/>
        <i x="6" s="1" nd="1"/>
        <i x="1" s="1" nd="1"/>
        <i x="10" s="1" nd="1"/>
        <i x="14" s="1" nd="1"/>
        <i x="16" s="1" nd="1"/>
        <i x="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 xr10:uid="{2AEB2E08-2A2F-4EEB-9CBB-4473852CED54}" cache="Slicer_Supplier" caption="Supplie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CB18A3-79A7-49ED-89A1-AD8619A9B81C}" name="Sheet1" displayName="Sheet1" ref="A1:I48" tableType="queryTable" totalsRowShown="0" headerRowDxfId="18" dataDxfId="17">
  <autoFilter ref="A1:I48" xr:uid="{52CB18A3-79A7-49ED-89A1-AD8619A9B81C}"/>
  <tableColumns count="9">
    <tableColumn id="1" xr3:uid="{6F4E7974-D522-48C9-AD3E-61A962BD0E56}" uniqueName="1" name="Document Date" queryTableFieldId="1" dataDxfId="16"/>
    <tableColumn id="2" xr3:uid="{F3F1A66D-EF4D-49B1-A446-B0A62CC7CA3C}" uniqueName="2" name="Supplier" queryTableFieldId="2" dataDxfId="15"/>
    <tableColumn id="3" xr3:uid="{2F8D9515-B245-45E6-8B6D-44BFEB357BDD}" uniqueName="3" name="Reference" queryTableFieldId="3" dataDxfId="14"/>
    <tableColumn id="4" xr3:uid="{EF29DF25-E6FA-4412-8F2E-AC1F82629102}" uniqueName="4" name="Description" queryTableFieldId="4" dataDxfId="13"/>
    <tableColumn id="5" xr3:uid="{F72D8548-FE35-4A8E-B031-D88AF89A5B14}" uniqueName="5" name="Tax Inclusive Amount" queryTableFieldId="5" dataDxfId="12"/>
    <tableColumn id="6" xr3:uid="{986CD73C-8295-48D2-9B98-705C9FF7EC02}" uniqueName="6" name="Tax Code" queryTableFieldId="6" dataDxfId="11"/>
    <tableColumn id="7" xr3:uid="{03810000-A7D1-449A-96EA-4C7D085264DE}" uniqueName="7" name="Bank Code" queryTableFieldId="7" dataDxfId="10"/>
    <tableColumn id="8" xr3:uid="{D03B8442-7E52-4828-A2AE-EAF3695F27D9}" uniqueName="8" name="Account Code" queryTableFieldId="8" dataDxfId="9"/>
    <tableColumn id="9" xr3:uid="{C9F94AB9-B200-4047-97F7-470F13C691BF}" uniqueName="9" name="Payment Date" queryTableFieldId="9" dataDxfId="8"/>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9C5BCF-8FA7-4813-B44E-5AB52FFB3BC3}" name="Sheet1__3" displayName="Sheet1__3" ref="A1:I18" tableType="queryTable" totalsRowShown="0">
  <autoFilter ref="A1:I18" xr:uid="{3E9C5BCF-8FA7-4813-B44E-5AB52FFB3BC3}"/>
  <tableColumns count="9">
    <tableColumn id="1" xr3:uid="{4BE0DBD0-D680-4E18-B5B4-032C7C1264C4}" uniqueName="1" name="Document Date" queryTableFieldId="1" dataDxfId="7"/>
    <tableColumn id="2" xr3:uid="{4D2DC089-7C17-41A7-B036-20E2056EA32A}" uniqueName="2" name="Supplier" queryTableFieldId="2" dataDxfId="6"/>
    <tableColumn id="3" xr3:uid="{5A5649FE-8D6F-4978-8CBA-9C7FFA4114C7}" uniqueName="3" name="Reference" queryTableFieldId="3" dataDxfId="5"/>
    <tableColumn id="4" xr3:uid="{E78AFB74-F8C3-4B51-91E0-BF1B279AF092}" uniqueName="4" name="Description" queryTableFieldId="4" dataDxfId="4"/>
    <tableColumn id="5" xr3:uid="{368F124E-FEBA-4E0B-8853-328EBB616B94}" uniqueName="5" name="Tax Inclusive Amount" queryTableFieldId="5"/>
    <tableColumn id="10" xr3:uid="{4F64525C-7EA1-400D-9819-E3091DE836B3}" uniqueName="10" name="Tax Code" queryTableFieldId="10" dataDxfId="3"/>
    <tableColumn id="7" xr3:uid="{6BDE3EB2-D395-46F6-9AAE-E7FEB8993B77}" uniqueName="7" name="Bank Code" queryTableFieldId="7" dataDxfId="2"/>
    <tableColumn id="8" xr3:uid="{6A791033-B7A9-4F46-9551-9A692BD825E1}" uniqueName="8" name="Account Code" queryTableFieldId="8" dataDxfId="1"/>
    <tableColumn id="9" xr3:uid="{336D2436-6F5C-4786-9E32-E5DAAAE62439}" uniqueName="9" name="Payment Date" queryTableFieldId="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C6227-5D6B-4FC9-A1AC-67C5F7D50C23}">
  <dimension ref="A3:B6"/>
  <sheetViews>
    <sheetView tabSelected="1" topLeftCell="A3" workbookViewId="0">
      <selection activeCell="O13" sqref="O13"/>
    </sheetView>
  </sheetViews>
  <sheetFormatPr defaultRowHeight="15" x14ac:dyDescent="0.25"/>
  <cols>
    <col min="1" max="1" width="13.140625" bestFit="1" customWidth="1"/>
    <col min="2" max="2" width="27" bestFit="1" customWidth="1"/>
    <col min="3" max="3" width="5.140625" bestFit="1" customWidth="1"/>
    <col min="4" max="5" width="11.42578125" bestFit="1" customWidth="1"/>
    <col min="6" max="6" width="7.5703125" bestFit="1" customWidth="1"/>
    <col min="7" max="7" width="7" bestFit="1" customWidth="1"/>
    <col min="8" max="8" width="7.42578125" bestFit="1" customWidth="1"/>
    <col min="9" max="9" width="8.28515625" bestFit="1" customWidth="1"/>
    <col min="10" max="12" width="13.28515625" bestFit="1" customWidth="1"/>
    <col min="13" max="13" width="7.140625" bestFit="1" customWidth="1"/>
    <col min="14" max="16" width="7" bestFit="1" customWidth="1"/>
    <col min="17" max="17" width="7.140625" bestFit="1" customWidth="1"/>
    <col min="18" max="18" width="8.28515625" bestFit="1" customWidth="1"/>
    <col min="19" max="19" width="11.28515625" bestFit="1" customWidth="1"/>
  </cols>
  <sheetData>
    <row r="3" spans="1:2" x14ac:dyDescent="0.25">
      <c r="A3" s="4" t="s">
        <v>89</v>
      </c>
      <c r="B3" t="s">
        <v>88</v>
      </c>
    </row>
    <row r="4" spans="1:2" x14ac:dyDescent="0.25">
      <c r="A4" s="5" t="s">
        <v>22</v>
      </c>
      <c r="B4">
        <v>478</v>
      </c>
    </row>
    <row r="5" spans="1:2" x14ac:dyDescent="0.25">
      <c r="A5" s="5" t="s">
        <v>44</v>
      </c>
      <c r="B5">
        <v>763</v>
      </c>
    </row>
    <row r="6" spans="1:2" x14ac:dyDescent="0.25">
      <c r="A6" s="5" t="s">
        <v>90</v>
      </c>
      <c r="B6">
        <v>1241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D48C2-EE12-4014-8506-5B8AA5800803}">
  <dimension ref="A1:I48"/>
  <sheetViews>
    <sheetView topLeftCell="A2" workbookViewId="0">
      <selection activeCell="C15" sqref="C15"/>
    </sheetView>
  </sheetViews>
  <sheetFormatPr defaultRowHeight="15" x14ac:dyDescent="0.25"/>
  <cols>
    <col min="1" max="1" width="17.140625" style="2" bestFit="1" customWidth="1"/>
    <col min="2" max="2" width="18.140625" style="2" bestFit="1" customWidth="1"/>
    <col min="3" max="3" width="15.140625" style="2" bestFit="1" customWidth="1"/>
    <col min="4" max="4" width="25.5703125" style="2" bestFit="1" customWidth="1"/>
    <col min="5" max="5" width="22.42578125" style="2" bestFit="1" customWidth="1"/>
    <col min="6" max="6" width="11.28515625" style="2" bestFit="1" customWidth="1"/>
    <col min="7" max="7" width="12.5703125" style="2" bestFit="1" customWidth="1"/>
    <col min="8" max="8" width="15.5703125" style="2" bestFit="1" customWidth="1"/>
    <col min="9" max="9" width="15.85546875" style="2" bestFit="1" customWidth="1"/>
    <col min="10" max="16384" width="9.140625" style="2"/>
  </cols>
  <sheetData>
    <row r="1" spans="1:9" x14ac:dyDescent="0.25">
      <c r="A1" s="2" t="s">
        <v>0</v>
      </c>
      <c r="B1" s="2" t="s">
        <v>1</v>
      </c>
      <c r="C1" s="2" t="s">
        <v>2</v>
      </c>
      <c r="D1" s="2" t="s">
        <v>3</v>
      </c>
      <c r="E1" s="2" t="s">
        <v>4</v>
      </c>
      <c r="F1" s="2" t="s">
        <v>5</v>
      </c>
      <c r="G1" s="2" t="s">
        <v>6</v>
      </c>
      <c r="H1" s="2" t="s">
        <v>7</v>
      </c>
      <c r="I1" s="2" t="s">
        <v>8</v>
      </c>
    </row>
    <row r="2" spans="1:9" x14ac:dyDescent="0.25">
      <c r="A2" s="3">
        <v>40588</v>
      </c>
      <c r="B2" s="2" t="s">
        <v>9</v>
      </c>
      <c r="C2" s="2" t="s">
        <v>10</v>
      </c>
      <c r="D2" s="2" t="s">
        <v>11</v>
      </c>
      <c r="E2" s="2">
        <v>5100</v>
      </c>
      <c r="F2" s="2" t="s">
        <v>12</v>
      </c>
      <c r="G2" s="2" t="s">
        <v>13</v>
      </c>
      <c r="H2" s="2" t="s">
        <v>14</v>
      </c>
      <c r="I2" s="3">
        <v>40604</v>
      </c>
    </row>
    <row r="3" spans="1:9" x14ac:dyDescent="0.25">
      <c r="A3" s="3">
        <v>40603</v>
      </c>
      <c r="B3" s="2" t="s">
        <v>15</v>
      </c>
      <c r="C3" s="2" t="s">
        <v>16</v>
      </c>
      <c r="D3" s="2" t="s">
        <v>17</v>
      </c>
      <c r="E3" s="2">
        <v>179</v>
      </c>
      <c r="F3" s="2" t="s">
        <v>12</v>
      </c>
      <c r="G3" s="2" t="s">
        <v>13</v>
      </c>
      <c r="H3" s="2" t="s">
        <v>18</v>
      </c>
      <c r="I3" s="3">
        <v>40633</v>
      </c>
    </row>
    <row r="4" spans="1:9" x14ac:dyDescent="0.25">
      <c r="A4" s="3">
        <v>40604</v>
      </c>
      <c r="B4" s="2" t="s">
        <v>19</v>
      </c>
      <c r="C4" s="2" t="s">
        <v>20</v>
      </c>
      <c r="D4" s="2" t="s">
        <v>21</v>
      </c>
      <c r="E4" s="2">
        <v>478</v>
      </c>
      <c r="F4" s="2" t="s">
        <v>12</v>
      </c>
      <c r="G4" s="2" t="s">
        <v>13</v>
      </c>
      <c r="H4" s="2" t="s">
        <v>22</v>
      </c>
      <c r="I4" s="3">
        <v>40634</v>
      </c>
    </row>
    <row r="5" spans="1:9" x14ac:dyDescent="0.25">
      <c r="A5" s="3">
        <v>40607</v>
      </c>
      <c r="B5" s="2" t="s">
        <v>23</v>
      </c>
      <c r="C5" s="2" t="s">
        <v>24</v>
      </c>
      <c r="D5" s="2" t="s">
        <v>25</v>
      </c>
      <c r="E5" s="2">
        <v>340</v>
      </c>
      <c r="F5" s="2" t="s">
        <v>12</v>
      </c>
      <c r="G5" s="2" t="s">
        <v>13</v>
      </c>
      <c r="H5" s="2" t="s">
        <v>26</v>
      </c>
      <c r="I5" s="3">
        <v>40607</v>
      </c>
    </row>
    <row r="6" spans="1:9" x14ac:dyDescent="0.25">
      <c r="A6" s="3">
        <v>40617</v>
      </c>
      <c r="B6" s="2" t="s">
        <v>27</v>
      </c>
      <c r="C6" s="2" t="s">
        <v>28</v>
      </c>
      <c r="D6" s="2" t="s">
        <v>29</v>
      </c>
      <c r="E6" s="2">
        <v>50</v>
      </c>
      <c r="F6" s="2" t="s">
        <v>12</v>
      </c>
      <c r="G6" s="2" t="s">
        <v>13</v>
      </c>
      <c r="H6" s="2" t="s">
        <v>30</v>
      </c>
      <c r="I6" s="3">
        <v>40617</v>
      </c>
    </row>
    <row r="7" spans="1:9" x14ac:dyDescent="0.25">
      <c r="A7" s="3">
        <v>40617</v>
      </c>
      <c r="B7" s="2" t="s">
        <v>27</v>
      </c>
      <c r="C7" s="2" t="s">
        <v>28</v>
      </c>
      <c r="D7" s="2" t="s">
        <v>29</v>
      </c>
      <c r="E7" s="2">
        <v>35</v>
      </c>
      <c r="F7" s="2" t="s">
        <v>12</v>
      </c>
      <c r="G7" s="2" t="s">
        <v>31</v>
      </c>
      <c r="H7" s="2" t="s">
        <v>30</v>
      </c>
      <c r="I7" s="3">
        <v>40617</v>
      </c>
    </row>
    <row r="8" spans="1:9" x14ac:dyDescent="0.25">
      <c r="A8" s="3">
        <v>40617</v>
      </c>
      <c r="B8" s="2" t="s">
        <v>32</v>
      </c>
      <c r="C8" s="2" t="s">
        <v>33</v>
      </c>
      <c r="D8" s="2" t="s">
        <v>34</v>
      </c>
      <c r="E8" s="2">
        <v>1000</v>
      </c>
      <c r="F8" s="2" t="s">
        <v>12</v>
      </c>
      <c r="G8" s="2" t="s">
        <v>13</v>
      </c>
      <c r="H8" s="2" t="s">
        <v>35</v>
      </c>
      <c r="I8" s="3">
        <v>40635</v>
      </c>
    </row>
    <row r="9" spans="1:9" x14ac:dyDescent="0.25">
      <c r="A9" s="3">
        <v>40617</v>
      </c>
      <c r="B9" s="2" t="s">
        <v>36</v>
      </c>
      <c r="C9" s="2" t="s">
        <v>37</v>
      </c>
      <c r="D9" s="2" t="s">
        <v>38</v>
      </c>
      <c r="E9" s="2">
        <v>90</v>
      </c>
      <c r="F9" s="2" t="s">
        <v>12</v>
      </c>
      <c r="G9" s="2" t="s">
        <v>39</v>
      </c>
      <c r="H9" s="2" t="s">
        <v>40</v>
      </c>
      <c r="I9" s="3">
        <v>40617</v>
      </c>
    </row>
    <row r="10" spans="1:9" x14ac:dyDescent="0.25">
      <c r="A10" s="3">
        <v>40620</v>
      </c>
      <c r="B10" s="2" t="s">
        <v>41</v>
      </c>
      <c r="C10" s="2" t="s">
        <v>42</v>
      </c>
      <c r="D10" s="2" t="s">
        <v>43</v>
      </c>
      <c r="E10" s="2">
        <v>200</v>
      </c>
      <c r="F10" s="2" t="s">
        <v>12</v>
      </c>
      <c r="G10" s="2" t="s">
        <v>13</v>
      </c>
      <c r="H10" s="2" t="s">
        <v>44</v>
      </c>
      <c r="I10" s="3">
        <v>40620</v>
      </c>
    </row>
    <row r="11" spans="1:9" x14ac:dyDescent="0.25">
      <c r="A11" s="3">
        <v>40622</v>
      </c>
      <c r="B11" s="2" t="s">
        <v>45</v>
      </c>
      <c r="C11" s="2" t="s">
        <v>46</v>
      </c>
      <c r="D11" s="2" t="s">
        <v>47</v>
      </c>
      <c r="E11" s="2">
        <v>-15000</v>
      </c>
      <c r="F11" s="2" t="s">
        <v>48</v>
      </c>
      <c r="G11" s="2" t="s">
        <v>31</v>
      </c>
      <c r="H11" s="2" t="s">
        <v>49</v>
      </c>
      <c r="I11" s="3">
        <v>40622</v>
      </c>
    </row>
    <row r="12" spans="1:9" x14ac:dyDescent="0.25">
      <c r="A12" s="3">
        <v>40622</v>
      </c>
      <c r="B12" s="2" t="s">
        <v>45</v>
      </c>
      <c r="C12" s="2" t="s">
        <v>46</v>
      </c>
      <c r="D12" s="2" t="s">
        <v>47</v>
      </c>
      <c r="E12" s="2">
        <v>15000</v>
      </c>
      <c r="F12" s="2" t="s">
        <v>48</v>
      </c>
      <c r="G12" s="2" t="s">
        <v>13</v>
      </c>
      <c r="H12" s="2" t="s">
        <v>49</v>
      </c>
      <c r="I12" s="3">
        <v>40622</v>
      </c>
    </row>
    <row r="13" spans="1:9" x14ac:dyDescent="0.25">
      <c r="A13" s="3">
        <v>40628</v>
      </c>
      <c r="B13" s="2" t="s">
        <v>45</v>
      </c>
      <c r="C13" s="2" t="s">
        <v>50</v>
      </c>
      <c r="D13" s="2" t="s">
        <v>51</v>
      </c>
      <c r="E13" s="2">
        <v>13000</v>
      </c>
      <c r="F13" s="2" t="s">
        <v>48</v>
      </c>
      <c r="G13" s="2" t="s">
        <v>31</v>
      </c>
      <c r="H13" s="2" t="s">
        <v>52</v>
      </c>
      <c r="I13" s="3">
        <v>40628</v>
      </c>
    </row>
    <row r="14" spans="1:9" x14ac:dyDescent="0.25">
      <c r="A14" s="3">
        <v>40628</v>
      </c>
      <c r="B14" s="2" t="s">
        <v>53</v>
      </c>
      <c r="C14" s="2" t="s">
        <v>24</v>
      </c>
      <c r="D14" s="2" t="s">
        <v>54</v>
      </c>
      <c r="E14" s="2">
        <v>220</v>
      </c>
      <c r="F14" s="2" t="s">
        <v>48</v>
      </c>
      <c r="G14" s="2" t="s">
        <v>13</v>
      </c>
      <c r="H14" s="2" t="s">
        <v>55</v>
      </c>
      <c r="I14" s="3">
        <v>40628</v>
      </c>
    </row>
    <row r="15" spans="1:9" x14ac:dyDescent="0.25">
      <c r="A15" s="3">
        <v>40628</v>
      </c>
      <c r="B15" s="2" t="s">
        <v>53</v>
      </c>
      <c r="C15" s="2" t="s">
        <v>24</v>
      </c>
      <c r="D15" s="2" t="s">
        <v>56</v>
      </c>
      <c r="E15" s="2">
        <v>100</v>
      </c>
      <c r="F15" s="2" t="s">
        <v>48</v>
      </c>
      <c r="G15" s="2" t="s">
        <v>13</v>
      </c>
      <c r="H15" s="2" t="s">
        <v>57</v>
      </c>
      <c r="I15" s="3">
        <v>40628</v>
      </c>
    </row>
    <row r="16" spans="1:9" x14ac:dyDescent="0.25">
      <c r="A16" s="3">
        <v>40628</v>
      </c>
      <c r="B16" s="2" t="s">
        <v>58</v>
      </c>
      <c r="C16" s="2" t="s">
        <v>24</v>
      </c>
      <c r="D16" s="2" t="s">
        <v>59</v>
      </c>
      <c r="E16" s="2">
        <v>6400</v>
      </c>
      <c r="F16" s="2" t="s">
        <v>12</v>
      </c>
      <c r="G16" s="2" t="s">
        <v>13</v>
      </c>
      <c r="H16" s="2" t="s">
        <v>60</v>
      </c>
      <c r="I16" s="3">
        <v>40628</v>
      </c>
    </row>
    <row r="17" spans="1:9" x14ac:dyDescent="0.25">
      <c r="A17" s="3">
        <v>40633</v>
      </c>
      <c r="B17" s="2" t="s">
        <v>45</v>
      </c>
      <c r="C17" s="2" t="s">
        <v>28</v>
      </c>
      <c r="D17" s="2" t="s">
        <v>61</v>
      </c>
      <c r="E17" s="2">
        <v>100</v>
      </c>
      <c r="F17" s="2" t="s">
        <v>48</v>
      </c>
      <c r="G17" s="2" t="s">
        <v>13</v>
      </c>
      <c r="H17" s="2" t="s">
        <v>49</v>
      </c>
      <c r="I17" s="3">
        <v>40633</v>
      </c>
    </row>
    <row r="18" spans="1:9" x14ac:dyDescent="0.25">
      <c r="A18" s="3">
        <v>40633</v>
      </c>
      <c r="B18" s="2" t="s">
        <v>45</v>
      </c>
      <c r="C18" s="2" t="s">
        <v>28</v>
      </c>
      <c r="D18" s="2" t="s">
        <v>61</v>
      </c>
      <c r="E18" s="2">
        <v>-100</v>
      </c>
      <c r="F18" s="2" t="s">
        <v>48</v>
      </c>
      <c r="G18" s="2" t="s">
        <v>39</v>
      </c>
      <c r="H18" s="2" t="s">
        <v>49</v>
      </c>
      <c r="I18" s="3">
        <v>40633</v>
      </c>
    </row>
    <row r="19" spans="1:9" x14ac:dyDescent="0.25">
      <c r="A19" s="3">
        <v>40634</v>
      </c>
      <c r="B19" s="2" t="s">
        <v>15</v>
      </c>
      <c r="C19" s="2" t="s">
        <v>62</v>
      </c>
      <c r="D19" s="2" t="s">
        <v>63</v>
      </c>
      <c r="E19" s="2">
        <v>179</v>
      </c>
      <c r="F19" s="2" t="s">
        <v>12</v>
      </c>
      <c r="G19" s="2" t="s">
        <v>13</v>
      </c>
      <c r="H19" s="2" t="s">
        <v>18</v>
      </c>
      <c r="I19" s="3">
        <v>40664</v>
      </c>
    </row>
    <row r="20" spans="1:9" x14ac:dyDescent="0.25">
      <c r="A20" s="3">
        <v>40638</v>
      </c>
      <c r="B20" s="2" t="s">
        <v>23</v>
      </c>
      <c r="C20" s="2" t="s">
        <v>24</v>
      </c>
      <c r="D20" s="2" t="s">
        <v>25</v>
      </c>
      <c r="E20" s="2">
        <v>340</v>
      </c>
      <c r="F20" s="2" t="s">
        <v>12</v>
      </c>
      <c r="G20" s="2" t="s">
        <v>13</v>
      </c>
      <c r="H20" s="2" t="s">
        <v>26</v>
      </c>
      <c r="I20" s="3">
        <v>40638</v>
      </c>
    </row>
    <row r="21" spans="1:9" x14ac:dyDescent="0.25">
      <c r="A21" s="3">
        <v>40645</v>
      </c>
      <c r="B21" s="2" t="s">
        <v>36</v>
      </c>
      <c r="C21" s="2" t="s">
        <v>37</v>
      </c>
      <c r="D21" s="2" t="s">
        <v>38</v>
      </c>
      <c r="E21" s="2">
        <v>87</v>
      </c>
      <c r="F21" s="2" t="s">
        <v>12</v>
      </c>
      <c r="G21" s="2" t="s">
        <v>39</v>
      </c>
      <c r="H21" s="2" t="s">
        <v>40</v>
      </c>
      <c r="I21" s="3">
        <v>40645</v>
      </c>
    </row>
    <row r="22" spans="1:9" x14ac:dyDescent="0.25">
      <c r="A22" s="3">
        <v>40648</v>
      </c>
      <c r="B22" s="2" t="s">
        <v>27</v>
      </c>
      <c r="C22" s="2" t="s">
        <v>28</v>
      </c>
      <c r="D22" s="2" t="s">
        <v>29</v>
      </c>
      <c r="E22" s="2">
        <v>80</v>
      </c>
      <c r="F22" s="2" t="s">
        <v>12</v>
      </c>
      <c r="G22" s="2" t="s">
        <v>13</v>
      </c>
      <c r="H22" s="2" t="s">
        <v>30</v>
      </c>
      <c r="I22" s="3">
        <v>40648</v>
      </c>
    </row>
    <row r="23" spans="1:9" x14ac:dyDescent="0.25">
      <c r="A23" s="3">
        <v>40648</v>
      </c>
      <c r="B23" s="2" t="s">
        <v>27</v>
      </c>
      <c r="C23" s="2" t="s">
        <v>28</v>
      </c>
      <c r="D23" s="2" t="s">
        <v>29</v>
      </c>
      <c r="E23" s="2">
        <v>35</v>
      </c>
      <c r="F23" s="2" t="s">
        <v>12</v>
      </c>
      <c r="G23" s="2" t="s">
        <v>31</v>
      </c>
      <c r="H23" s="2" t="s">
        <v>30</v>
      </c>
      <c r="I23" s="3">
        <v>40648</v>
      </c>
    </row>
    <row r="24" spans="1:9" x14ac:dyDescent="0.25">
      <c r="A24" s="3">
        <v>40648</v>
      </c>
      <c r="B24" s="2" t="s">
        <v>32</v>
      </c>
      <c r="C24" s="2" t="s">
        <v>64</v>
      </c>
      <c r="D24" s="2" t="s">
        <v>34</v>
      </c>
      <c r="E24" s="2">
        <v>1000</v>
      </c>
      <c r="F24" s="2" t="s">
        <v>12</v>
      </c>
      <c r="G24" s="2" t="s">
        <v>13</v>
      </c>
      <c r="H24" s="2" t="s">
        <v>35</v>
      </c>
      <c r="I24" s="3">
        <v>40666</v>
      </c>
    </row>
    <row r="25" spans="1:9" x14ac:dyDescent="0.25">
      <c r="A25" s="3">
        <v>40653</v>
      </c>
      <c r="B25" s="2" t="s">
        <v>45</v>
      </c>
      <c r="C25" s="2" t="s">
        <v>46</v>
      </c>
      <c r="D25" s="2" t="s">
        <v>47</v>
      </c>
      <c r="E25" s="2">
        <v>-20000</v>
      </c>
      <c r="F25" s="2" t="s">
        <v>48</v>
      </c>
      <c r="G25" s="2" t="s">
        <v>31</v>
      </c>
      <c r="H25" s="2" t="s">
        <v>49</v>
      </c>
      <c r="I25" s="3">
        <v>40653</v>
      </c>
    </row>
    <row r="26" spans="1:9" x14ac:dyDescent="0.25">
      <c r="A26" s="3">
        <v>40653</v>
      </c>
      <c r="B26" s="2" t="s">
        <v>45</v>
      </c>
      <c r="C26" s="2" t="s">
        <v>46</v>
      </c>
      <c r="D26" s="2" t="s">
        <v>47</v>
      </c>
      <c r="E26" s="2">
        <v>20000</v>
      </c>
      <c r="F26" s="2" t="s">
        <v>48</v>
      </c>
      <c r="G26" s="2" t="s">
        <v>13</v>
      </c>
      <c r="H26" s="2" t="s">
        <v>49</v>
      </c>
      <c r="I26" s="3">
        <v>40653</v>
      </c>
    </row>
    <row r="27" spans="1:9" x14ac:dyDescent="0.25">
      <c r="A27" s="3">
        <v>40658</v>
      </c>
      <c r="B27" s="2" t="s">
        <v>65</v>
      </c>
      <c r="C27" s="2" t="s">
        <v>66</v>
      </c>
      <c r="D27" s="2" t="s">
        <v>67</v>
      </c>
      <c r="E27" s="2">
        <v>1300</v>
      </c>
      <c r="F27" s="2" t="s">
        <v>48</v>
      </c>
      <c r="G27" s="2" t="s">
        <v>13</v>
      </c>
      <c r="H27" s="2" t="s">
        <v>68</v>
      </c>
      <c r="I27" s="3">
        <v>40658</v>
      </c>
    </row>
    <row r="28" spans="1:9" x14ac:dyDescent="0.25">
      <c r="A28" s="3">
        <v>40659</v>
      </c>
      <c r="B28" s="2" t="s">
        <v>45</v>
      </c>
      <c r="C28" s="2" t="s">
        <v>50</v>
      </c>
      <c r="D28" s="2" t="s">
        <v>51</v>
      </c>
      <c r="E28" s="2">
        <v>20000</v>
      </c>
      <c r="F28" s="2" t="s">
        <v>48</v>
      </c>
      <c r="G28" s="2" t="s">
        <v>31</v>
      </c>
      <c r="H28" s="2" t="s">
        <v>52</v>
      </c>
      <c r="I28" s="3">
        <v>40659</v>
      </c>
    </row>
    <row r="29" spans="1:9" x14ac:dyDescent="0.25">
      <c r="A29" s="3">
        <v>40659</v>
      </c>
      <c r="B29" s="2" t="s">
        <v>69</v>
      </c>
      <c r="C29" s="2" t="s">
        <v>64</v>
      </c>
      <c r="D29" s="2" t="s">
        <v>70</v>
      </c>
      <c r="E29" s="2">
        <v>3000</v>
      </c>
      <c r="F29" s="2" t="s">
        <v>12</v>
      </c>
      <c r="G29" s="2" t="s">
        <v>13</v>
      </c>
      <c r="H29" s="2" t="s">
        <v>71</v>
      </c>
      <c r="I29" s="3">
        <v>40689</v>
      </c>
    </row>
    <row r="30" spans="1:9" x14ac:dyDescent="0.25">
      <c r="A30" s="3">
        <v>40659</v>
      </c>
      <c r="B30" s="2" t="s">
        <v>53</v>
      </c>
      <c r="C30" s="2" t="s">
        <v>24</v>
      </c>
      <c r="D30" s="2" t="s">
        <v>54</v>
      </c>
      <c r="E30" s="2">
        <v>220</v>
      </c>
      <c r="F30" s="2" t="s">
        <v>48</v>
      </c>
      <c r="G30" s="2" t="s">
        <v>13</v>
      </c>
      <c r="H30" s="2" t="s">
        <v>55</v>
      </c>
      <c r="I30" s="3">
        <v>40659</v>
      </c>
    </row>
    <row r="31" spans="1:9" x14ac:dyDescent="0.25">
      <c r="A31" s="3">
        <v>40659</v>
      </c>
      <c r="B31" s="2" t="s">
        <v>53</v>
      </c>
      <c r="C31" s="2" t="s">
        <v>24</v>
      </c>
      <c r="D31" s="2" t="s">
        <v>56</v>
      </c>
      <c r="E31" s="2">
        <v>100</v>
      </c>
      <c r="F31" s="2" t="s">
        <v>48</v>
      </c>
      <c r="G31" s="2" t="s">
        <v>13</v>
      </c>
      <c r="H31" s="2" t="s">
        <v>57</v>
      </c>
      <c r="I31" s="3">
        <v>40659</v>
      </c>
    </row>
    <row r="32" spans="1:9" x14ac:dyDescent="0.25">
      <c r="A32" s="3">
        <v>40659</v>
      </c>
      <c r="B32" s="2" t="s">
        <v>58</v>
      </c>
      <c r="C32" s="2" t="s">
        <v>24</v>
      </c>
      <c r="D32" s="2" t="s">
        <v>59</v>
      </c>
      <c r="E32" s="2">
        <v>6400</v>
      </c>
      <c r="F32" s="2" t="s">
        <v>12</v>
      </c>
      <c r="G32" s="2" t="s">
        <v>13</v>
      </c>
      <c r="H32" s="2" t="s">
        <v>60</v>
      </c>
      <c r="I32" s="3">
        <v>40659</v>
      </c>
    </row>
    <row r="33" spans="1:9" x14ac:dyDescent="0.25">
      <c r="A33" s="3">
        <v>40662</v>
      </c>
      <c r="B33" s="2" t="s">
        <v>72</v>
      </c>
      <c r="C33" s="2" t="s">
        <v>73</v>
      </c>
      <c r="D33" s="2" t="s">
        <v>74</v>
      </c>
      <c r="E33" s="2">
        <v>41</v>
      </c>
      <c r="F33" s="2" t="s">
        <v>12</v>
      </c>
      <c r="G33" s="2" t="s">
        <v>39</v>
      </c>
      <c r="H33" s="2" t="s">
        <v>75</v>
      </c>
      <c r="I33" s="3">
        <v>40692</v>
      </c>
    </row>
    <row r="34" spans="1:9" x14ac:dyDescent="0.25">
      <c r="A34" s="3">
        <v>40663</v>
      </c>
      <c r="B34" s="2" t="s">
        <v>45</v>
      </c>
      <c r="C34" s="2" t="s">
        <v>28</v>
      </c>
      <c r="D34" s="2" t="s">
        <v>61</v>
      </c>
      <c r="E34" s="2">
        <v>100</v>
      </c>
      <c r="F34" s="2" t="s">
        <v>48</v>
      </c>
      <c r="G34" s="2" t="s">
        <v>13</v>
      </c>
      <c r="H34" s="2" t="s">
        <v>49</v>
      </c>
      <c r="I34" s="3">
        <v>40663</v>
      </c>
    </row>
    <row r="35" spans="1:9" x14ac:dyDescent="0.25">
      <c r="A35" s="3">
        <v>40663</v>
      </c>
      <c r="B35" s="2" t="s">
        <v>45</v>
      </c>
      <c r="C35" s="2" t="s">
        <v>28</v>
      </c>
      <c r="D35" s="2" t="s">
        <v>61</v>
      </c>
      <c r="E35" s="2">
        <v>-100</v>
      </c>
      <c r="F35" s="2" t="s">
        <v>48</v>
      </c>
      <c r="G35" s="2" t="s">
        <v>39</v>
      </c>
      <c r="H35" s="2" t="s">
        <v>49</v>
      </c>
      <c r="I35" s="3">
        <v>40663</v>
      </c>
    </row>
    <row r="36" spans="1:9" x14ac:dyDescent="0.25">
      <c r="A36" s="3">
        <v>40664</v>
      </c>
      <c r="B36" s="2" t="s">
        <v>15</v>
      </c>
      <c r="C36" s="2" t="s">
        <v>76</v>
      </c>
      <c r="D36" s="2" t="s">
        <v>63</v>
      </c>
      <c r="E36" s="2">
        <v>179</v>
      </c>
      <c r="F36" s="2" t="s">
        <v>12</v>
      </c>
      <c r="G36" s="2" t="s">
        <v>13</v>
      </c>
      <c r="H36" s="2" t="s">
        <v>18</v>
      </c>
      <c r="I36" s="3">
        <v>40694</v>
      </c>
    </row>
    <row r="37" spans="1:9" x14ac:dyDescent="0.25">
      <c r="A37" s="3">
        <v>40664</v>
      </c>
      <c r="B37" s="2" t="s">
        <v>77</v>
      </c>
      <c r="C37" s="2" t="s">
        <v>64</v>
      </c>
      <c r="D37" s="2" t="s">
        <v>78</v>
      </c>
      <c r="E37" s="2">
        <v>220</v>
      </c>
      <c r="F37" s="2" t="s">
        <v>12</v>
      </c>
      <c r="G37" s="2" t="s">
        <v>13</v>
      </c>
      <c r="H37" s="2" t="s">
        <v>79</v>
      </c>
      <c r="I37" s="3">
        <v>40694</v>
      </c>
    </row>
    <row r="38" spans="1:9" x14ac:dyDescent="0.25">
      <c r="A38" s="3">
        <v>40668</v>
      </c>
      <c r="B38" s="2" t="s">
        <v>23</v>
      </c>
      <c r="C38" s="2" t="s">
        <v>24</v>
      </c>
      <c r="D38" s="2" t="s">
        <v>25</v>
      </c>
      <c r="E38" s="2">
        <v>340</v>
      </c>
      <c r="F38" s="2" t="s">
        <v>12</v>
      </c>
      <c r="G38" s="2" t="s">
        <v>13</v>
      </c>
      <c r="H38" s="2" t="s">
        <v>26</v>
      </c>
      <c r="I38" s="3">
        <v>40668</v>
      </c>
    </row>
    <row r="39" spans="1:9" x14ac:dyDescent="0.25">
      <c r="A39" s="3">
        <v>40670</v>
      </c>
      <c r="B39" s="2" t="s">
        <v>80</v>
      </c>
      <c r="C39" s="2" t="s">
        <v>81</v>
      </c>
      <c r="D39" s="2" t="s">
        <v>82</v>
      </c>
      <c r="E39" s="2">
        <v>563</v>
      </c>
      <c r="F39" s="2" t="s">
        <v>12</v>
      </c>
      <c r="G39" s="2" t="s">
        <v>13</v>
      </c>
      <c r="H39" s="2" t="s">
        <v>44</v>
      </c>
      <c r="I39" s="3">
        <v>40670</v>
      </c>
    </row>
    <row r="40" spans="1:9" x14ac:dyDescent="0.25">
      <c r="A40" s="3">
        <v>40670</v>
      </c>
      <c r="B40" s="2" t="s">
        <v>83</v>
      </c>
      <c r="C40" s="2" t="s">
        <v>64</v>
      </c>
      <c r="D40" s="2" t="s">
        <v>84</v>
      </c>
      <c r="E40" s="2">
        <v>982</v>
      </c>
      <c r="F40" s="2" t="s">
        <v>12</v>
      </c>
      <c r="G40" s="2" t="s">
        <v>13</v>
      </c>
      <c r="H40" s="2" t="s">
        <v>85</v>
      </c>
      <c r="I40" s="3">
        <v>40700</v>
      </c>
    </row>
    <row r="41" spans="1:9" x14ac:dyDescent="0.25">
      <c r="A41" s="3">
        <v>40678</v>
      </c>
      <c r="B41" s="2" t="s">
        <v>27</v>
      </c>
      <c r="C41" s="2" t="s">
        <v>28</v>
      </c>
      <c r="D41" s="2" t="s">
        <v>29</v>
      </c>
      <c r="E41" s="2">
        <v>80</v>
      </c>
      <c r="F41" s="2" t="s">
        <v>12</v>
      </c>
      <c r="G41" s="2" t="s">
        <v>13</v>
      </c>
      <c r="H41" s="2" t="s">
        <v>30</v>
      </c>
      <c r="I41" s="3">
        <v>40678</v>
      </c>
    </row>
    <row r="42" spans="1:9" x14ac:dyDescent="0.25">
      <c r="A42" s="3">
        <v>40678</v>
      </c>
      <c r="B42" s="2" t="s">
        <v>27</v>
      </c>
      <c r="C42" s="2" t="s">
        <v>28</v>
      </c>
      <c r="D42" s="2" t="s">
        <v>29</v>
      </c>
      <c r="E42" s="2">
        <v>35</v>
      </c>
      <c r="F42" s="2" t="s">
        <v>12</v>
      </c>
      <c r="G42" s="2" t="s">
        <v>31</v>
      </c>
      <c r="H42" s="2" t="s">
        <v>30</v>
      </c>
      <c r="I42" s="3">
        <v>40678</v>
      </c>
    </row>
    <row r="43" spans="1:9" x14ac:dyDescent="0.25">
      <c r="A43" s="3">
        <v>40678</v>
      </c>
      <c r="B43" s="2" t="s">
        <v>32</v>
      </c>
      <c r="C43" s="2" t="s">
        <v>64</v>
      </c>
      <c r="D43" s="2" t="s">
        <v>34</v>
      </c>
      <c r="E43" s="2">
        <v>1000</v>
      </c>
      <c r="F43" s="2" t="s">
        <v>12</v>
      </c>
      <c r="G43" s="2" t="s">
        <v>13</v>
      </c>
      <c r="H43" s="2" t="s">
        <v>35</v>
      </c>
      <c r="I43" s="3">
        <v>40696</v>
      </c>
    </row>
    <row r="44" spans="1:9" x14ac:dyDescent="0.25">
      <c r="A44" s="3">
        <v>40683</v>
      </c>
      <c r="B44" s="2" t="s">
        <v>45</v>
      </c>
      <c r="C44" s="2" t="s">
        <v>46</v>
      </c>
      <c r="D44" s="2" t="s">
        <v>47</v>
      </c>
      <c r="E44" s="2">
        <v>-20000</v>
      </c>
      <c r="F44" s="2" t="s">
        <v>48</v>
      </c>
      <c r="G44" s="2" t="s">
        <v>31</v>
      </c>
      <c r="H44" s="2" t="s">
        <v>49</v>
      </c>
      <c r="I44" s="3">
        <v>40683</v>
      </c>
    </row>
    <row r="45" spans="1:9" x14ac:dyDescent="0.25">
      <c r="A45" s="3">
        <v>40683</v>
      </c>
      <c r="B45" s="2" t="s">
        <v>45</v>
      </c>
      <c r="C45" s="2" t="s">
        <v>46</v>
      </c>
      <c r="D45" s="2" t="s">
        <v>47</v>
      </c>
      <c r="E45" s="2">
        <v>20000</v>
      </c>
      <c r="F45" s="2" t="s">
        <v>48</v>
      </c>
      <c r="G45" s="2" t="s">
        <v>13</v>
      </c>
      <c r="H45" s="2" t="s">
        <v>49</v>
      </c>
      <c r="I45" s="3">
        <v>40683</v>
      </c>
    </row>
    <row r="46" spans="1:9" x14ac:dyDescent="0.25">
      <c r="A46" s="3">
        <v>40689</v>
      </c>
      <c r="B46" s="2" t="s">
        <v>45</v>
      </c>
      <c r="C46" s="2" t="s">
        <v>50</v>
      </c>
      <c r="D46" s="2" t="s">
        <v>51</v>
      </c>
      <c r="E46" s="2">
        <v>20000</v>
      </c>
      <c r="F46" s="2" t="s">
        <v>48</v>
      </c>
      <c r="G46" s="2" t="s">
        <v>31</v>
      </c>
      <c r="H46" s="2" t="s">
        <v>52</v>
      </c>
      <c r="I46" s="3">
        <v>40689</v>
      </c>
    </row>
    <row r="47" spans="1:9" x14ac:dyDescent="0.25">
      <c r="A47" s="3">
        <v>40689</v>
      </c>
      <c r="B47" s="2" t="s">
        <v>53</v>
      </c>
      <c r="C47" s="2" t="s">
        <v>24</v>
      </c>
      <c r="D47" s="2" t="s">
        <v>54</v>
      </c>
      <c r="E47" s="2">
        <v>220</v>
      </c>
      <c r="F47" s="2" t="s">
        <v>48</v>
      </c>
      <c r="G47" s="2" t="s">
        <v>13</v>
      </c>
      <c r="H47" s="2" t="s">
        <v>55</v>
      </c>
      <c r="I47" s="3">
        <v>40689</v>
      </c>
    </row>
    <row r="48" spans="1:9" x14ac:dyDescent="0.25">
      <c r="A48" s="3">
        <v>40689</v>
      </c>
      <c r="B48" s="2" t="s">
        <v>53</v>
      </c>
      <c r="C48" s="2" t="s">
        <v>86</v>
      </c>
      <c r="D48" s="2" t="s">
        <v>87</v>
      </c>
      <c r="E48" s="2">
        <v>100</v>
      </c>
      <c r="F48" s="2" t="s">
        <v>48</v>
      </c>
      <c r="G48" s="2" t="s">
        <v>13</v>
      </c>
      <c r="H48" s="2" t="s">
        <v>57</v>
      </c>
      <c r="I48" s="3">
        <v>40689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5AA89-2315-4340-B64B-EBF3FAEF79BC}">
  <dimension ref="A1:I18"/>
  <sheetViews>
    <sheetView workbookViewId="0">
      <selection activeCell="G1" sqref="G1"/>
    </sheetView>
  </sheetViews>
  <sheetFormatPr defaultRowHeight="15" x14ac:dyDescent="0.25"/>
  <cols>
    <col min="1" max="1" width="17.140625" bestFit="1" customWidth="1"/>
    <col min="2" max="2" width="18.140625" bestFit="1" customWidth="1"/>
    <col min="3" max="3" width="15.140625" bestFit="1" customWidth="1"/>
    <col min="4" max="4" width="23.5703125" bestFit="1" customWidth="1"/>
    <col min="5" max="5" width="22.42578125" bestFit="1" customWidth="1"/>
    <col min="6" max="6" width="11.28515625" bestFit="1" customWidth="1"/>
    <col min="7" max="7" width="12.5703125" bestFit="1" customWidth="1"/>
    <col min="8" max="8" width="15.5703125" bestFit="1" customWidth="1"/>
    <col min="9" max="10" width="15.85546875" bestFit="1" customWidth="1"/>
  </cols>
  <sheetData>
    <row r="1" spans="1:9" x14ac:dyDescent="0.25">
      <c r="A1" t="s">
        <v>0</v>
      </c>
      <c r="B1" t="s">
        <v>1</v>
      </c>
      <c r="C1" t="s">
        <v>2</v>
      </c>
      <c r="D1" t="s">
        <v>3</v>
      </c>
      <c r="E1" t="s">
        <v>4</v>
      </c>
      <c r="F1" t="s">
        <v>5</v>
      </c>
      <c r="G1" t="s">
        <v>6</v>
      </c>
      <c r="H1" t="s">
        <v>7</v>
      </c>
      <c r="I1" t="s">
        <v>8</v>
      </c>
    </row>
    <row r="2" spans="1:9" x14ac:dyDescent="0.25">
      <c r="A2" s="1">
        <v>40588</v>
      </c>
      <c r="B2" t="s">
        <v>9</v>
      </c>
      <c r="C2" t="s">
        <v>10</v>
      </c>
      <c r="D2" t="s">
        <v>11</v>
      </c>
      <c r="E2">
        <v>5100</v>
      </c>
      <c r="F2" t="s">
        <v>12</v>
      </c>
      <c r="G2" t="s">
        <v>13</v>
      </c>
      <c r="H2" t="s">
        <v>14</v>
      </c>
      <c r="I2" s="1">
        <v>40604</v>
      </c>
    </row>
    <row r="3" spans="1:9" x14ac:dyDescent="0.25">
      <c r="A3" s="1">
        <v>40603</v>
      </c>
      <c r="B3" t="s">
        <v>15</v>
      </c>
      <c r="C3" t="s">
        <v>16</v>
      </c>
      <c r="D3" t="s">
        <v>17</v>
      </c>
      <c r="E3">
        <v>179</v>
      </c>
      <c r="F3" t="s">
        <v>12</v>
      </c>
      <c r="G3" t="s">
        <v>13</v>
      </c>
      <c r="H3" t="s">
        <v>18</v>
      </c>
      <c r="I3" s="1">
        <v>40633</v>
      </c>
    </row>
    <row r="4" spans="1:9" x14ac:dyDescent="0.25">
      <c r="A4" s="1">
        <v>40604</v>
      </c>
      <c r="B4" t="s">
        <v>19</v>
      </c>
      <c r="C4" t="s">
        <v>20</v>
      </c>
      <c r="D4" t="s">
        <v>21</v>
      </c>
      <c r="E4">
        <v>478</v>
      </c>
      <c r="F4" t="s">
        <v>12</v>
      </c>
      <c r="G4" t="s">
        <v>13</v>
      </c>
      <c r="H4" t="s">
        <v>22</v>
      </c>
      <c r="I4" s="1">
        <v>40634</v>
      </c>
    </row>
    <row r="5" spans="1:9" x14ac:dyDescent="0.25">
      <c r="A5" s="1">
        <v>40607</v>
      </c>
      <c r="B5" t="s">
        <v>23</v>
      </c>
      <c r="C5" t="s">
        <v>24</v>
      </c>
      <c r="D5" t="s">
        <v>25</v>
      </c>
      <c r="E5">
        <v>340</v>
      </c>
      <c r="F5" t="s">
        <v>12</v>
      </c>
      <c r="G5" t="s">
        <v>13</v>
      </c>
      <c r="H5" t="s">
        <v>26</v>
      </c>
      <c r="I5" s="1">
        <v>40607</v>
      </c>
    </row>
    <row r="6" spans="1:9" x14ac:dyDescent="0.25">
      <c r="A6" s="1">
        <v>40617</v>
      </c>
      <c r="B6" t="s">
        <v>27</v>
      </c>
      <c r="C6" t="s">
        <v>28</v>
      </c>
      <c r="D6" t="s">
        <v>29</v>
      </c>
      <c r="E6">
        <v>50</v>
      </c>
      <c r="F6" t="s">
        <v>12</v>
      </c>
      <c r="G6" t="s">
        <v>13</v>
      </c>
      <c r="H6" t="s">
        <v>30</v>
      </c>
      <c r="I6" s="1">
        <v>40617</v>
      </c>
    </row>
    <row r="7" spans="1:9" x14ac:dyDescent="0.25">
      <c r="A7" s="1">
        <v>40617</v>
      </c>
      <c r="B7" t="s">
        <v>32</v>
      </c>
      <c r="C7" t="s">
        <v>33</v>
      </c>
      <c r="D7" t="s">
        <v>34</v>
      </c>
      <c r="E7">
        <v>1000</v>
      </c>
      <c r="F7" t="s">
        <v>12</v>
      </c>
      <c r="G7" t="s">
        <v>13</v>
      </c>
      <c r="H7" t="s">
        <v>35</v>
      </c>
      <c r="I7" s="1">
        <v>40635</v>
      </c>
    </row>
    <row r="8" spans="1:9" x14ac:dyDescent="0.25">
      <c r="A8" s="1">
        <v>40617</v>
      </c>
      <c r="B8" t="s">
        <v>36</v>
      </c>
      <c r="C8" t="s">
        <v>37</v>
      </c>
      <c r="D8" t="s">
        <v>38</v>
      </c>
      <c r="E8">
        <v>90</v>
      </c>
      <c r="F8" t="s">
        <v>12</v>
      </c>
      <c r="G8" t="s">
        <v>39</v>
      </c>
      <c r="H8" t="s">
        <v>40</v>
      </c>
      <c r="I8" s="1">
        <v>40617</v>
      </c>
    </row>
    <row r="9" spans="1:9" x14ac:dyDescent="0.25">
      <c r="A9" s="1">
        <v>40620</v>
      </c>
      <c r="B9" t="s">
        <v>41</v>
      </c>
      <c r="C9" t="s">
        <v>42</v>
      </c>
      <c r="D9" t="s">
        <v>43</v>
      </c>
      <c r="E9">
        <v>200</v>
      </c>
      <c r="F9" t="s">
        <v>12</v>
      </c>
      <c r="G9" t="s">
        <v>13</v>
      </c>
      <c r="H9" t="s">
        <v>44</v>
      </c>
      <c r="I9" s="1">
        <v>40620</v>
      </c>
    </row>
    <row r="10" spans="1:9" x14ac:dyDescent="0.25">
      <c r="A10" s="1">
        <v>40622</v>
      </c>
      <c r="B10" t="s">
        <v>45</v>
      </c>
      <c r="C10" t="s">
        <v>46</v>
      </c>
      <c r="D10" t="s">
        <v>47</v>
      </c>
      <c r="E10">
        <v>-15000</v>
      </c>
      <c r="F10" t="s">
        <v>48</v>
      </c>
      <c r="G10" t="s">
        <v>31</v>
      </c>
      <c r="H10" t="s">
        <v>49</v>
      </c>
      <c r="I10" s="1">
        <v>40622</v>
      </c>
    </row>
    <row r="11" spans="1:9" x14ac:dyDescent="0.25">
      <c r="A11" s="1">
        <v>40628</v>
      </c>
      <c r="B11" t="s">
        <v>53</v>
      </c>
      <c r="C11" t="s">
        <v>24</v>
      </c>
      <c r="D11" t="s">
        <v>54</v>
      </c>
      <c r="E11">
        <v>220</v>
      </c>
      <c r="F11" t="s">
        <v>48</v>
      </c>
      <c r="G11" t="s">
        <v>13</v>
      </c>
      <c r="H11" t="s">
        <v>55</v>
      </c>
      <c r="I11" s="1">
        <v>40628</v>
      </c>
    </row>
    <row r="12" spans="1:9" x14ac:dyDescent="0.25">
      <c r="A12" s="1">
        <v>40628</v>
      </c>
      <c r="B12" t="s">
        <v>58</v>
      </c>
      <c r="C12" t="s">
        <v>24</v>
      </c>
      <c r="D12" t="s">
        <v>59</v>
      </c>
      <c r="E12">
        <v>6400</v>
      </c>
      <c r="F12" t="s">
        <v>12</v>
      </c>
      <c r="G12" t="s">
        <v>13</v>
      </c>
      <c r="H12" t="s">
        <v>60</v>
      </c>
      <c r="I12" s="1">
        <v>40628</v>
      </c>
    </row>
    <row r="13" spans="1:9" x14ac:dyDescent="0.25">
      <c r="A13" s="1">
        <v>40658</v>
      </c>
      <c r="B13" t="s">
        <v>65</v>
      </c>
      <c r="C13" t="s">
        <v>66</v>
      </c>
      <c r="D13" t="s">
        <v>67</v>
      </c>
      <c r="E13">
        <v>1300</v>
      </c>
      <c r="F13" t="s">
        <v>48</v>
      </c>
      <c r="G13" t="s">
        <v>13</v>
      </c>
      <c r="H13" t="s">
        <v>68</v>
      </c>
      <c r="I13" s="1">
        <v>40658</v>
      </c>
    </row>
    <row r="14" spans="1:9" x14ac:dyDescent="0.25">
      <c r="A14" s="1">
        <v>40659</v>
      </c>
      <c r="B14" t="s">
        <v>69</v>
      </c>
      <c r="C14" t="s">
        <v>64</v>
      </c>
      <c r="D14" t="s">
        <v>70</v>
      </c>
      <c r="E14">
        <v>3000</v>
      </c>
      <c r="F14" t="s">
        <v>12</v>
      </c>
      <c r="G14" t="s">
        <v>13</v>
      </c>
      <c r="H14" t="s">
        <v>71</v>
      </c>
      <c r="I14" s="1">
        <v>40689</v>
      </c>
    </row>
    <row r="15" spans="1:9" x14ac:dyDescent="0.25">
      <c r="A15" s="1">
        <v>40662</v>
      </c>
      <c r="B15" t="s">
        <v>72</v>
      </c>
      <c r="C15" t="s">
        <v>73</v>
      </c>
      <c r="D15" t="s">
        <v>74</v>
      </c>
      <c r="E15">
        <v>41</v>
      </c>
      <c r="F15" t="s">
        <v>12</v>
      </c>
      <c r="G15" t="s">
        <v>39</v>
      </c>
      <c r="H15" t="s">
        <v>75</v>
      </c>
      <c r="I15" s="1">
        <v>40692</v>
      </c>
    </row>
    <row r="16" spans="1:9" x14ac:dyDescent="0.25">
      <c r="A16" s="1">
        <v>40664</v>
      </c>
      <c r="B16" t="s">
        <v>77</v>
      </c>
      <c r="C16" t="s">
        <v>64</v>
      </c>
      <c r="D16" t="s">
        <v>78</v>
      </c>
      <c r="E16">
        <v>220</v>
      </c>
      <c r="F16" t="s">
        <v>12</v>
      </c>
      <c r="G16" t="s">
        <v>13</v>
      </c>
      <c r="H16" t="s">
        <v>79</v>
      </c>
      <c r="I16" s="1">
        <v>40694</v>
      </c>
    </row>
    <row r="17" spans="1:9" x14ac:dyDescent="0.25">
      <c r="A17" s="1">
        <v>40670</v>
      </c>
      <c r="B17" t="s">
        <v>80</v>
      </c>
      <c r="C17" t="s">
        <v>81</v>
      </c>
      <c r="D17" t="s">
        <v>82</v>
      </c>
      <c r="E17">
        <v>563</v>
      </c>
      <c r="F17" t="s">
        <v>12</v>
      </c>
      <c r="G17" t="s">
        <v>13</v>
      </c>
      <c r="H17" t="s">
        <v>44</v>
      </c>
      <c r="I17" s="1">
        <v>40670</v>
      </c>
    </row>
    <row r="18" spans="1:9" x14ac:dyDescent="0.25">
      <c r="A18" s="1">
        <v>40670</v>
      </c>
      <c r="B18" t="s">
        <v>83</v>
      </c>
      <c r="C18" t="s">
        <v>64</v>
      </c>
      <c r="D18" t="s">
        <v>84</v>
      </c>
      <c r="E18">
        <v>982</v>
      </c>
      <c r="F18" t="s">
        <v>12</v>
      </c>
      <c r="G18" t="s">
        <v>13</v>
      </c>
      <c r="H18" t="s">
        <v>85</v>
      </c>
      <c r="I18" s="1">
        <v>40700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EF6DE22-B145-425D-B6A0-EF376FBC223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 q1 name change </vt:lpstr>
      <vt:lpstr>unique supplier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Darshan Parekh</dc:creator>
  <cp:lastModifiedBy>Darshan Parekh</cp:lastModifiedBy>
  <dcterms:created xsi:type="dcterms:W3CDTF">2025-06-12T07:08:31Z</dcterms:created>
  <dcterms:modified xsi:type="dcterms:W3CDTF">2025-06-14T07:22:31Z</dcterms:modified>
</cp:coreProperties>
</file>